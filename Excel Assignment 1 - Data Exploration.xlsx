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rancy\Entry\Home work\"/>
    </mc:Choice>
  </mc:AlternateContent>
  <xr:revisionPtr revIDLastSave="0" documentId="13_ncr:1_{C829F74E-AB61-4C1F-8810-F27071BE40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5" i="1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J17" i="1"/>
  <c r="J16" i="1"/>
  <c r="G2" i="2" a="1"/>
  <c r="G2" i="2" s="1"/>
  <c r="G10" i="1"/>
  <c r="G9" i="1"/>
  <c r="G6" i="1"/>
  <c r="G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<sst xmlns="http://schemas.openxmlformats.org/spreadsheetml/2006/main" count="164" uniqueCount="115">
  <si>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</si>
  <si>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</si>
  <si>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</si>
  <si>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</si>
  <si>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</si>
  <si>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</si>
  <si>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</si>
  <si>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</si>
  <si>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</si>
  <si>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</si>
  <si>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</si>
  <si>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</si>
  <si>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</si>
  <si>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</si>
  <si>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</si>
  <si>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</si>
  <si>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</si>
  <si>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</si>
  <si>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</si>
  <si>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</si>
  <si>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</si>
  <si>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</si>
  <si>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</si>
  <si>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</si>
  <si>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</si>
  <si>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</si>
  <si>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</si>
  <si>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</si>
  <si>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</si>
  <si>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</si>
  <si>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</si>
  <si>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</si>
  <si>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</si>
  <si>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</si>
  <si>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</si>
  <si>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</si>
  <si>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</si>
  <si>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</si>
  <si>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</si>
  <si>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</si>
  <si>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</si>
  <si>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</si>
  <si>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</si>
  <si>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</si>
  <si>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</si>
  <si>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</si>
  <si>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</si>
  <si>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</si>
  <si>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</si>
  <si>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</si>
  <si>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</si>
  <si>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</si>
  <si>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</si>
  <si>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</si>
  <si>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</si>
  <si>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</si>
  <si>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</si>
  <si>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</si>
  <si>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</si>
  <si>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</si>
  <si>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</si>
  <si>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</si>
  <si>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</si>
  <si>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</si>
  <si>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</si>
  <si>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</si>
  <si>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</si>
  <si>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</si>
  <si>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</si>
  <si>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</si>
  <si>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</si>
  <si>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</si>
  <si>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</si>
  <si>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</si>
  <si>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</si>
  <si>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</si>
  <si>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</si>
  <si>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</si>
  <si>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</si>
  <si>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</si>
  <si>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</si>
  <si>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</si>
  <si>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</si>
  <si>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</si>
  <si>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</si>
  <si>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</si>
  <si>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</si>
  <si>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</si>
  <si>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</si>
  <si>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</si>
  <si>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</si>
  <si>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</si>
  <si>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</si>
  <si>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</si>
  <si>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</si>
  <si>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</si>
  <si>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</si>
  <si>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</si>
  <si>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</si>
  <si>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</si>
  <si>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</si>
  <si>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</si>
  <si>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</si>
  <si>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</si>
  <si>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</si>
  <si>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</si>
  <si>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</si>
  <si>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</si>
  <si>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</si>
  <si>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</si>
  <si>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 to categorize products</t>
  </si>
  <si>
    <t>Day with</t>
  </si>
  <si>
    <t>Country code</t>
  </si>
  <si>
    <t>month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</si>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</sst>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showGridLines="0" tabSelected="1" workbookViewId="0">
      <selection activeCell="N13" sqref="N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4" ht="15.75" customHeight="1" x14ac:dyDescent="0.25">
      <c r="A1" s="1" t="s">
        <v>0</v>
      </c>
    </row>
    <row r="2" spans="1:14" ht="15.75" customHeight="1" x14ac:dyDescent="0.25"/>
    <row r="3" spans="1:14" ht="15.75" customHeight="1" x14ac:dyDescent="0.3">
      <c r="B3" s="2" t="s">
        <v>1</v>
      </c>
    </row>
    <row r="4" spans="1:14" ht="15.75" customHeight="1" x14ac:dyDescent="0.3">
      <c r="B4" s="2"/>
      <c r="C4" s="3" t="s">
        <v>2</v>
      </c>
      <c r="G4">
        <f>SUM(Dataset!D2:D35)</f>
        <v>10100</v>
      </c>
    </row>
    <row r="5" spans="1:14" ht="15.75" customHeight="1" x14ac:dyDescent="0.3">
      <c r="B5" s="2"/>
      <c r="C5" s="3" t="s">
        <v>3</v>
      </c>
      <c r="G5">
        <f>COUNTA(Dataset!B2:B35)</f>
        <v>34</v>
      </c>
    </row>
    <row r="6" spans="1:14" ht="15.75" customHeight="1" x14ac:dyDescent="0.3">
      <c r="B6" s="2"/>
      <c r="C6" s="3" t="s">
        <v>4</v>
      </c>
      <c r="G6">
        <f>AVERAGE(Dataset!D2:D35)</f>
        <v>297.05882352941177</v>
      </c>
    </row>
    <row r="7" spans="1:14" ht="15.75" customHeight="1" x14ac:dyDescent="0.3">
      <c r="B7" s="4"/>
    </row>
    <row r="8" spans="1:14" ht="15.75" customHeight="1" x14ac:dyDescent="0.3">
      <c r="B8" s="2" t="s">
        <v>5</v>
      </c>
    </row>
    <row r="9" spans="1:14" ht="15.75" customHeight="1" x14ac:dyDescent="0.3">
      <c r="C9" s="3" t="s">
        <v>6</v>
      </c>
      <c r="G9">
        <f>MIN(Dataset!D2:D35)</f>
        <v>30</v>
      </c>
    </row>
    <row r="10" spans="1:14" ht="15.75" customHeight="1" x14ac:dyDescent="0.3">
      <c r="C10" s="3" t="s">
        <v>7</v>
      </c>
      <c r="G10">
        <f>MAX(Dataset!D2:D35)</f>
        <v>1000</v>
      </c>
    </row>
    <row r="11" spans="1:14" ht="15.75" customHeight="1" x14ac:dyDescent="0.3">
      <c r="B11" s="4"/>
    </row>
    <row r="12" spans="1:14" ht="15.75" customHeight="1" x14ac:dyDescent="0.3">
      <c r="B12" s="2" t="s">
        <v>8</v>
      </c>
    </row>
    <row r="13" spans="1:14" ht="15.75" customHeight="1" x14ac:dyDescent="0.3">
      <c r="C13" s="3" t="s">
        <v>9</v>
      </c>
      <c r="N13" t="s">
        <v>114</v>
      </c>
    </row>
    <row r="14" spans="1:14" ht="15.75" customHeight="1" x14ac:dyDescent="0.3">
      <c r="B14" s="4"/>
    </row>
    <row r="15" spans="1:14" ht="15.75" customHeight="1" x14ac:dyDescent="0.3">
      <c r="B15" s="2" t="s">
        <v>10</v>
      </c>
    </row>
    <row r="16" spans="1:14" ht="15.75" customHeight="1" x14ac:dyDescent="0.3">
      <c r="C16" s="3" t="s">
        <v>11</v>
      </c>
      <c r="J16">
        <f>SUMIF(Dataset!F2:F35,"electronics",Dataset!D2:D35)</f>
        <v>8050</v>
      </c>
    </row>
    <row r="17" spans="2:10" ht="15.75" customHeight="1" x14ac:dyDescent="0.3">
      <c r="C17" s="3" t="s">
        <v>12</v>
      </c>
      <c r="J17">
        <f>COUNTIF(Dataset!D2:D35,"&lt;100")</f>
        <v>11</v>
      </c>
    </row>
    <row r="18" spans="2:10" ht="15.75" customHeight="1" x14ac:dyDescent="0.3">
      <c r="B18" s="4"/>
    </row>
    <row r="19" spans="2:10" ht="15.75" customHeight="1" x14ac:dyDescent="0.3">
      <c r="B19" s="2" t="s">
        <v>13</v>
      </c>
    </row>
    <row r="20" spans="2:10" ht="15.75" customHeight="1" x14ac:dyDescent="0.3">
      <c r="C20" s="3" t="s">
        <v>14</v>
      </c>
    </row>
    <row r="21" spans="2:10" ht="15.75" customHeight="1" x14ac:dyDescent="0.3">
      <c r="C21" s="3" t="s">
        <v>15</v>
      </c>
    </row>
    <row r="22" spans="2:10" ht="15.75" customHeight="1" x14ac:dyDescent="0.3">
      <c r="C22" s="3" t="s">
        <v>16</v>
      </c>
    </row>
    <row r="23" spans="2:10" ht="15.75" customHeight="1" x14ac:dyDescent="0.3">
      <c r="B23" s="4"/>
    </row>
    <row r="24" spans="2:10" ht="15.75" customHeight="1" x14ac:dyDescent="0.25"/>
    <row r="25" spans="2:10" ht="15.75" customHeight="1" x14ac:dyDescent="0.25"/>
    <row r="26" spans="2:10" ht="15.75" customHeight="1" x14ac:dyDescent="0.25"/>
    <row r="27" spans="2:10" ht="15.75" customHeight="1" x14ac:dyDescent="0.25"/>
    <row r="28" spans="2:10" ht="15.75" customHeight="1" x14ac:dyDescent="0.25"/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B1" workbookViewId="0">
      <selection activeCell="I1" sqref="I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32.5546875" bestFit="1" customWidth="1"/>
    <col min="8" max="9" width="32.554687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110</v>
      </c>
      <c r="H1" s="6" t="s">
        <v>111</v>
      </c>
      <c r="I1" s="6" t="s">
        <v>112</v>
      </c>
      <c r="J1" s="6" t="s">
        <v>113</v>
      </c>
    </row>
    <row r="2" spans="1:10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 cm="1">
        <f t="array" ref="G2:G35">IF(D2:D35&gt;=500,"high price","standard price")</f>
        <v>high price</v>
      </c>
      <c r="H2" s="7" t="str">
        <f>LEFT(A2,2)</f>
        <v>28</v>
      </c>
      <c r="I2" s="7" t="str">
        <f>RIGHT(A2,2)</f>
        <v>US</v>
      </c>
      <c r="J2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v>standard price</v>
      </c>
      <c r="H3" s="7" t="str">
        <f t="shared" ref="H3:H35" si="0">LEFT(A3,2)</f>
        <v>15</v>
      </c>
      <c r="I3" s="7" t="str">
        <f t="shared" ref="I3:I35" si="1">RIGHT(A3,2)</f>
        <v>US</v>
      </c>
      <c r="J3" t="str">
        <f t="shared" ref="J3:J35" si="2">MID(A3,4,3)</f>
        <v>FEB</v>
      </c>
    </row>
    <row r="4" spans="1:10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v>standard price</v>
      </c>
      <c r="H4" s="7" t="str">
        <f t="shared" si="0"/>
        <v>03</v>
      </c>
      <c r="I4" s="7" t="str">
        <f t="shared" si="1"/>
        <v>US</v>
      </c>
      <c r="J4" t="str">
        <f t="shared" si="2"/>
        <v>MAR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v>high price</v>
      </c>
      <c r="H5" s="7" t="str">
        <f t="shared" si="0"/>
        <v>11</v>
      </c>
      <c r="I5" s="7" t="str">
        <f t="shared" si="1"/>
        <v>US</v>
      </c>
      <c r="J5" t="str">
        <f t="shared" si="2"/>
        <v>APR</v>
      </c>
    </row>
    <row r="6" spans="1:10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v>standard price</v>
      </c>
      <c r="H6" s="7" t="str">
        <f t="shared" si="0"/>
        <v>22</v>
      </c>
      <c r="I6" s="7" t="str">
        <f t="shared" si="1"/>
        <v>US</v>
      </c>
      <c r="J6" t="str">
        <f t="shared" si="2"/>
        <v>MAY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v>standard price</v>
      </c>
      <c r="H7" s="7" t="str">
        <f t="shared" si="0"/>
        <v>07</v>
      </c>
      <c r="I7" s="7" t="str">
        <f t="shared" si="1"/>
        <v>UK</v>
      </c>
      <c r="J7" t="str">
        <f t="shared" si="2"/>
        <v>JUN</v>
      </c>
    </row>
    <row r="8" spans="1:10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v>standard price</v>
      </c>
      <c r="H8" s="7" t="str">
        <f t="shared" si="0"/>
        <v>19</v>
      </c>
      <c r="I8" s="7" t="str">
        <f t="shared" si="1"/>
        <v>UK</v>
      </c>
      <c r="J8" t="str">
        <f t="shared" si="2"/>
        <v>JUL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v>standard price</v>
      </c>
      <c r="H9" s="7" t="str">
        <f t="shared" si="0"/>
        <v>23</v>
      </c>
      <c r="I9" s="7" t="str">
        <f t="shared" si="1"/>
        <v>UK</v>
      </c>
      <c r="J9" t="str">
        <f t="shared" si="2"/>
        <v>AUG</v>
      </c>
    </row>
    <row r="10" spans="1:10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v>high price</v>
      </c>
      <c r="H10" s="7" t="str">
        <f t="shared" si="0"/>
        <v>05</v>
      </c>
      <c r="I10" s="7" t="str">
        <f t="shared" si="1"/>
        <v>UK</v>
      </c>
      <c r="J10" t="str">
        <f t="shared" si="2"/>
        <v>SEP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v>standard price</v>
      </c>
      <c r="H11" s="7" t="str">
        <f t="shared" si="0"/>
        <v>14</v>
      </c>
      <c r="I11" s="7" t="str">
        <f t="shared" si="1"/>
        <v>UK</v>
      </c>
      <c r="J11" t="str">
        <f t="shared" si="2"/>
        <v>OCT</v>
      </c>
    </row>
    <row r="12" spans="1:10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v>high price</v>
      </c>
      <c r="H12" s="7" t="str">
        <f t="shared" si="0"/>
        <v>17</v>
      </c>
      <c r="I12" s="7" t="str">
        <f t="shared" si="1"/>
        <v>IN</v>
      </c>
      <c r="J12" t="str">
        <f t="shared" si="2"/>
        <v>JUN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v>standard price</v>
      </c>
      <c r="H13" s="7" t="str">
        <f t="shared" si="0"/>
        <v>25</v>
      </c>
      <c r="I13" s="7" t="str">
        <f t="shared" si="1"/>
        <v>AU</v>
      </c>
      <c r="J13" t="str">
        <f t="shared" si="2"/>
        <v>NOV</v>
      </c>
    </row>
    <row r="14" spans="1:10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v>standard price</v>
      </c>
      <c r="H14" s="7" t="str">
        <f t="shared" si="0"/>
        <v>08</v>
      </c>
      <c r="I14" s="7" t="str">
        <f t="shared" si="1"/>
        <v>DE</v>
      </c>
      <c r="J14" t="str">
        <f t="shared" si="2"/>
        <v>DEC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v>standard price</v>
      </c>
      <c r="H15" s="7" t="str">
        <f t="shared" si="0"/>
        <v>18</v>
      </c>
      <c r="I15" s="7" t="str">
        <f t="shared" si="1"/>
        <v>CA</v>
      </c>
      <c r="J15" t="str">
        <f t="shared" si="2"/>
        <v>FEB</v>
      </c>
    </row>
    <row r="16" spans="1:10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v>standard price</v>
      </c>
      <c r="H16" s="7" t="str">
        <f t="shared" si="0"/>
        <v>16</v>
      </c>
      <c r="I16" s="7" t="str">
        <f t="shared" si="1"/>
        <v>ES</v>
      </c>
      <c r="J16" t="str">
        <f t="shared" si="2"/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v>standard price</v>
      </c>
      <c r="H17" s="7" t="str">
        <f t="shared" si="0"/>
        <v>21</v>
      </c>
      <c r="I17" s="7" t="str">
        <f t="shared" si="1"/>
        <v>CA</v>
      </c>
      <c r="J17" t="str">
        <f t="shared" si="2"/>
        <v>AUG</v>
      </c>
    </row>
    <row r="18" spans="1:10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v>standard price</v>
      </c>
      <c r="H18" s="7" t="str">
        <f t="shared" si="0"/>
        <v>20</v>
      </c>
      <c r="I18" s="7" t="str">
        <f t="shared" si="1"/>
        <v>CN</v>
      </c>
      <c r="J18" t="str">
        <f t="shared" si="2"/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v>high price</v>
      </c>
      <c r="H19" s="7" t="str">
        <f t="shared" si="0"/>
        <v>27</v>
      </c>
      <c r="I19" s="7" t="str">
        <f t="shared" si="1"/>
        <v>IT</v>
      </c>
      <c r="J19" t="str">
        <f t="shared" si="2"/>
        <v>JAN</v>
      </c>
    </row>
    <row r="20" spans="1:10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v>standard price</v>
      </c>
      <c r="H20" s="7" t="str">
        <f t="shared" si="0"/>
        <v>01</v>
      </c>
      <c r="I20" s="7" t="str">
        <f t="shared" si="1"/>
        <v>UK</v>
      </c>
      <c r="J20" t="str">
        <f t="shared" si="2"/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v>standard price</v>
      </c>
      <c r="H21" s="7" t="str">
        <f t="shared" si="0"/>
        <v>14</v>
      </c>
      <c r="I21" s="7" t="str">
        <f t="shared" si="1"/>
        <v>US</v>
      </c>
      <c r="J21" t="str">
        <f t="shared" si="2"/>
        <v>AUG</v>
      </c>
    </row>
    <row r="22" spans="1:10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v>high price</v>
      </c>
      <c r="H22" s="7" t="str">
        <f t="shared" si="0"/>
        <v>14</v>
      </c>
      <c r="I22" s="7" t="str">
        <f t="shared" si="1"/>
        <v>RU</v>
      </c>
      <c r="J22" t="str">
        <f t="shared" si="2"/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v>standard price</v>
      </c>
      <c r="H23" s="7" t="str">
        <f t="shared" si="0"/>
        <v>09</v>
      </c>
      <c r="I23" s="7" t="str">
        <f t="shared" si="1"/>
        <v>CA</v>
      </c>
      <c r="J23" t="str">
        <f t="shared" si="2"/>
        <v>JAN</v>
      </c>
    </row>
    <row r="24" spans="1:10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v>standard price</v>
      </c>
      <c r="H24" s="7" t="str">
        <f t="shared" si="0"/>
        <v>19</v>
      </c>
      <c r="I24" s="7" t="str">
        <f t="shared" si="1"/>
        <v>BR</v>
      </c>
      <c r="J24" t="str">
        <f t="shared" si="2"/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 t="str">
        <v>standard price</v>
      </c>
      <c r="H25" s="7" t="str">
        <f t="shared" si="0"/>
        <v>21</v>
      </c>
      <c r="I25" s="7" t="str">
        <f t="shared" si="1"/>
        <v>CA</v>
      </c>
      <c r="J25" t="str">
        <f t="shared" si="2"/>
        <v>AUG</v>
      </c>
    </row>
    <row r="26" spans="1:10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v>high price</v>
      </c>
      <c r="H26" s="7" t="str">
        <f t="shared" si="0"/>
        <v>29</v>
      </c>
      <c r="I26" s="7" t="str">
        <f t="shared" si="1"/>
        <v>CA</v>
      </c>
      <c r="J26" t="str">
        <f t="shared" si="2"/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v>standard price</v>
      </c>
      <c r="H27" s="7" t="str">
        <f t="shared" si="0"/>
        <v>03</v>
      </c>
      <c r="I27" s="7" t="str">
        <f t="shared" si="1"/>
        <v>CA</v>
      </c>
      <c r="J27" t="str">
        <f t="shared" si="2"/>
        <v>JUN</v>
      </c>
    </row>
    <row r="28" spans="1:10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v>standard price</v>
      </c>
      <c r="H28" s="7" t="str">
        <f t="shared" si="0"/>
        <v>11</v>
      </c>
      <c r="I28" s="7" t="str">
        <f t="shared" si="1"/>
        <v>CA</v>
      </c>
      <c r="J28" t="str">
        <f t="shared" si="2"/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 t="str">
        <v>standard price</v>
      </c>
      <c r="H29" s="7" t="str">
        <f t="shared" si="0"/>
        <v>16</v>
      </c>
      <c r="I29" s="7" t="str">
        <f t="shared" si="1"/>
        <v>ES</v>
      </c>
      <c r="J29" t="str">
        <f t="shared" si="2"/>
        <v>APR</v>
      </c>
    </row>
    <row r="30" spans="1:10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v>standard price</v>
      </c>
      <c r="H30" s="7" t="str">
        <f t="shared" si="0"/>
        <v>07</v>
      </c>
      <c r="I30" s="7" t="str">
        <f t="shared" si="1"/>
        <v>CA</v>
      </c>
      <c r="J30" t="str">
        <f t="shared" si="2"/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v>standard price</v>
      </c>
      <c r="H31" s="7" t="str">
        <f t="shared" si="0"/>
        <v>13</v>
      </c>
      <c r="I31" s="7" t="str">
        <f t="shared" si="1"/>
        <v>CA</v>
      </c>
      <c r="J31" t="str">
        <f t="shared" si="2"/>
        <v>APR</v>
      </c>
    </row>
    <row r="32" spans="1:10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v>standard price</v>
      </c>
      <c r="H32" s="7" t="str">
        <f t="shared" si="0"/>
        <v>24</v>
      </c>
      <c r="I32" s="7" t="str">
        <f t="shared" si="1"/>
        <v>CA</v>
      </c>
      <c r="J32" t="str">
        <f t="shared" si="2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v>standard price</v>
      </c>
      <c r="H33" s="7" t="str">
        <f t="shared" si="0"/>
        <v>02</v>
      </c>
      <c r="I33" s="7" t="str">
        <f t="shared" si="1"/>
        <v>CA</v>
      </c>
      <c r="J33" t="str">
        <f t="shared" si="2"/>
        <v>DEC</v>
      </c>
    </row>
    <row r="34" spans="1:10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v>high price</v>
      </c>
      <c r="H34" s="7" t="str">
        <f t="shared" si="0"/>
        <v>17</v>
      </c>
      <c r="I34" s="7" t="str">
        <f t="shared" si="1"/>
        <v>IN</v>
      </c>
      <c r="J34" t="str">
        <f t="shared" si="2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v>standard price</v>
      </c>
      <c r="H35" s="7" t="str">
        <f t="shared" si="0"/>
        <v>09</v>
      </c>
      <c r="I35" s="7" t="str">
        <f t="shared" si="1"/>
        <v>FR</v>
      </c>
      <c r="J35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Francy K Francis</cp:lastModifiedBy>
  <dcterms:modified xsi:type="dcterms:W3CDTF">2026-10-11T13:49:20Z</dcterms:modified>
</cp:coreProperties>
</file>